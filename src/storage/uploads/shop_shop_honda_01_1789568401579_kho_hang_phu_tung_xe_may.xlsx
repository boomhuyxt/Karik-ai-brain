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ho hà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<sst xmlns="http://schemas.openxmlformats.org/spreadsheetml/2006/main" count="195" uniqueCount="117">
  <si>
    <t xml:space="preserve">DANH SÁCH KHO HÀNG - PHỤ TÙNG, LINH KIỆN XE MÁY</t>
  </si>
  <si>
    <t xml:space="preserve">Cập nhật ngày: __/__/2026</t>
  </si>
  <si>
    <t xml:space="preserve">STT</t>
  </si>
  <si>
    <t xml:space="preserve">Mã SP</t>
  </si>
  <si>
    <t xml:space="preserve">Tên sản phẩm</t>
  </si>
  <si>
    <t xml:space="preserve">Danh mục</t>
  </si>
  <si>
    <t xml:space="preserve">ĐVT</t>
  </si>
  <si>
    <t xml:space="preserve">Tồn kho</t>
  </si>
  <si>
    <t xml:space="preserve">Giá nhập (VNĐ)</t>
  </si>
  <si>
    <t xml:space="preserve">Giá bán (VNĐ)</t>
  </si>
  <si>
    <t xml:space="preserve">Giá trị tồn kho (VNĐ)</t>
  </si>
  <si>
    <t xml:space="preserve">Nhà cung cấp</t>
  </si>
  <si>
    <t xml:space="preserve">Vị trí kho</t>
  </si>
  <si>
    <t xml:space="preserve">PT001</t>
  </si>
  <si>
    <t xml:space="preserve">Nhớt động cơ Motul 3100 1L</t>
  </si>
  <si>
    <t xml:space="preserve">Dầu nhớt</t>
  </si>
  <si>
    <t xml:space="preserve">Chai</t>
  </si>
  <si>
    <t xml:space="preserve">Motul VN</t>
  </si>
  <si>
    <t xml:space="preserve">Kệ A1</t>
  </si>
  <si>
    <t xml:space="preserve">PT002</t>
  </si>
  <si>
    <t xml:space="preserve">Lọc gió Honda Wave Alpha</t>
  </si>
  <si>
    <t xml:space="preserve">Hệ thống nạp khí</t>
  </si>
  <si>
    <t xml:space="preserve">Cái</t>
  </si>
  <si>
    <t xml:space="preserve">Honda Chính hãng</t>
  </si>
  <si>
    <t xml:space="preserve">Kệ A2</t>
  </si>
  <si>
    <t xml:space="preserve">PT003</t>
  </si>
  <si>
    <t xml:space="preserve">Bugi NGK CPR6EA-9</t>
  </si>
  <si>
    <t xml:space="preserve">Hệ thống đánh lửa</t>
  </si>
  <si>
    <t xml:space="preserve">NGK Việt Nam</t>
  </si>
  <si>
    <t xml:space="preserve">Kệ A3</t>
  </si>
  <si>
    <t xml:space="preserve">PT004</t>
  </si>
  <si>
    <t xml:space="preserve">Nhông sên dĩa DID Exciter 150</t>
  </si>
  <si>
    <t xml:space="preserve">Truyền động</t>
  </si>
  <si>
    <t xml:space="preserve">Bộ</t>
  </si>
  <si>
    <t xml:space="preserve">DID Chain</t>
  </si>
  <si>
    <t xml:space="preserve">Kệ B1</t>
  </si>
  <si>
    <t xml:space="preserve">PT005</t>
  </si>
  <si>
    <t xml:space="preserve">Má phanh trước Yamaha Sirius</t>
  </si>
  <si>
    <t xml:space="preserve">Hệ thống phanh</t>
  </si>
  <si>
    <t xml:space="preserve">Yamaha Chính hãng</t>
  </si>
  <si>
    <t xml:space="preserve">Kệ B2</t>
  </si>
  <si>
    <t xml:space="preserve">PT006</t>
  </si>
  <si>
    <t xml:space="preserve">Má phanh sau Honda Air Blade</t>
  </si>
  <si>
    <t xml:space="preserve">PT007</t>
  </si>
  <si>
    <t xml:space="preserve">Dầu phanh DOT 3 250ml</t>
  </si>
  <si>
    <t xml:space="preserve">AGV Việt Nam</t>
  </si>
  <si>
    <t xml:space="preserve">PT008</t>
  </si>
  <si>
    <t xml:space="preserve">Bình ắc quy GS GTZ5S</t>
  </si>
  <si>
    <t xml:space="preserve">Điện - Ắc quy</t>
  </si>
  <si>
    <t xml:space="preserve">GS Battery VN</t>
  </si>
  <si>
    <t xml:space="preserve">Kệ C1</t>
  </si>
  <si>
    <t xml:space="preserve">PT009</t>
  </si>
  <si>
    <t xml:space="preserve">Săm xe máy 80/90-17</t>
  </si>
  <si>
    <t xml:space="preserve">Lốp - Săm</t>
  </si>
  <si>
    <t xml:space="preserve">Casumina</t>
  </si>
  <si>
    <t xml:space="preserve">Kệ D1</t>
  </si>
  <si>
    <t xml:space="preserve">PT010</t>
  </si>
  <si>
    <t xml:space="preserve">Lốp trước Michelin City Grip 70/90-17</t>
  </si>
  <si>
    <t xml:space="preserve">Michelin VN</t>
  </si>
  <si>
    <t xml:space="preserve">Kệ D2</t>
  </si>
  <si>
    <t xml:space="preserve">PT011</t>
  </si>
  <si>
    <t xml:space="preserve">Lốp sau Michelin City Grip 80/90-17</t>
  </si>
  <si>
    <t xml:space="preserve">PT012</t>
  </si>
  <si>
    <t xml:space="preserve">Dây curoa xe tay ga Honda SH</t>
  </si>
  <si>
    <t xml:space="preserve">PT013</t>
  </si>
  <si>
    <t xml:space="preserve">Gương chiếu hậu Exciter 150 (cặp)</t>
  </si>
  <si>
    <t xml:space="preserve">Phụ kiện ngoại thất</t>
  </si>
  <si>
    <t xml:space="preserve">Cặp</t>
  </si>
  <si>
    <t xml:space="preserve">Kệ E1</t>
  </si>
  <si>
    <t xml:space="preserve">PT014</t>
  </si>
  <si>
    <t xml:space="preserve">Tay thắng (tay phanh) Wave RSX</t>
  </si>
  <si>
    <t xml:space="preserve">Kệ B3</t>
  </si>
  <si>
    <t xml:space="preserve">PT015</t>
  </si>
  <si>
    <t xml:space="preserve">Chân chống giữa Wave Alpha</t>
  </si>
  <si>
    <t xml:space="preserve">Khung sườn</t>
  </si>
  <si>
    <t xml:space="preserve">Phụ tùng OEM</t>
  </si>
  <si>
    <t xml:space="preserve">Kệ F1</t>
  </si>
  <si>
    <t xml:space="preserve">PT016</t>
  </si>
  <si>
    <t xml:space="preserve">Chân chống nghiêng Air Blade</t>
  </si>
  <si>
    <t xml:space="preserve">PT017</t>
  </si>
  <si>
    <t xml:space="preserve">Phuộc trước Sirius (cặp)</t>
  </si>
  <si>
    <t xml:space="preserve">Hệ thống treo</t>
  </si>
  <si>
    <t xml:space="preserve">Kệ G1</t>
  </si>
  <si>
    <t xml:space="preserve">PT018</t>
  </si>
  <si>
    <t xml:space="preserve">Phuộc sau Exciter 135</t>
  </si>
  <si>
    <t xml:space="preserve">PT019</t>
  </si>
  <si>
    <t xml:space="preserve">Bộ đề (motor khởi động) Vision</t>
  </si>
  <si>
    <t xml:space="preserve">Kệ C2</t>
  </si>
  <si>
    <t xml:space="preserve">PT020</t>
  </si>
  <si>
    <t xml:space="preserve">IC (mô đun đánh lửa) Wave 110</t>
  </si>
  <si>
    <t xml:space="preserve">PT021</t>
  </si>
  <si>
    <t xml:space="preserve">Cuộn dây lửa (mobin sườn) Sirius</t>
  </si>
  <si>
    <t xml:space="preserve">PT022</t>
  </si>
  <si>
    <t xml:space="preserve">Lọc nhớt Exciter 150</t>
  </si>
  <si>
    <t xml:space="preserve">PT023</t>
  </si>
  <si>
    <t xml:space="preserve">Bố thắng đĩa sau SH 150i</t>
  </si>
  <si>
    <t xml:space="preserve">PT024</t>
  </si>
  <si>
    <t xml:space="preserve">Dây ga (dây côn ga) Wave Alpha</t>
  </si>
  <si>
    <t xml:space="preserve">Sợi</t>
  </si>
  <si>
    <t xml:space="preserve">PT025</t>
  </si>
  <si>
    <t xml:space="preserve">Còi xe máy 12V</t>
  </si>
  <si>
    <t xml:space="preserve">Kệ C3</t>
  </si>
  <si>
    <t xml:space="preserve">PT026</t>
  </si>
  <si>
    <t xml:space="preserve">Bóng đèn pha LED H4</t>
  </si>
  <si>
    <t xml:space="preserve">Philips VN</t>
  </si>
  <si>
    <t xml:space="preserve">PT027</t>
  </si>
  <si>
    <t xml:space="preserve">Xi nhan (đèn báo rẽ) Air Blade (cặp)</t>
  </si>
  <si>
    <t xml:space="preserve">PT028</t>
  </si>
  <si>
    <t xml:space="preserve">Kính chắn gió SH Mode</t>
  </si>
  <si>
    <t xml:space="preserve">PT029</t>
  </si>
  <si>
    <t xml:space="preserve">Yếm xe Exciter 150 (bộ 3 chi tiết)</t>
  </si>
  <si>
    <t xml:space="preserve">Kệ E2</t>
  </si>
  <si>
    <t xml:space="preserve">PT030</t>
  </si>
  <si>
    <t xml:space="preserve">Baga sau (giá đèo hàng) Wave</t>
  </si>
  <si>
    <t xml:space="preserve">Kệ F2</t>
  </si>
  <si>
    <t xml:space="preserve">TỔNG CỘNG</t>
  </si>
  <si>
    <t xml:space="preserve">Ghi chú: Ô Tồn kho tô đỏ = sản phẩm sắp hết hàng (dưới 15 đơn vị), cần nhập thêm.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</si>
</sst>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2F6FA"/>
        <bgColor rgb="FFFFFFFF"/>
      </patternFill>
    </fill>
    <fill>
      <patternFill patternType="solid">
        <fgColor rgb="FFFFC7CE"/>
        <bgColor rgb="FFD9E1F2"/>
      </patternFill>
    </fill>
    <fill>
      <patternFill patternType="solid">
        <fgColor rgb="FFD9E1F2"/>
        <bgColor rgb="FFF2F6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6FA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38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8" min="7" style="0" width="15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1" min="11" style="0" width="1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n">
        <v>1</v>
      </c>
      <c r="B5" s="5" t="s">
        <v>13</v>
      </c>
      <c r="C5" s="5" t="s">
        <v>14</v>
      </c>
      <c r="D5" s="5" t="s">
        <v>15</v>
      </c>
      <c r="E5" s="4" t="s">
        <v>16</v>
      </c>
      <c r="F5" s="4" t="n">
        <v>85</v>
      </c>
      <c r="G5" s="6" t="n">
        <v>65000</v>
      </c>
      <c r="H5" s="6" t="n">
        <v>95000</v>
      </c>
      <c r="I5" s="6" t="n">
        <f aca="false">F5*G5</f>
        <v>5525000</v>
      </c>
      <c r="J5" s="5" t="s">
        <v>17</v>
      </c>
      <c r="K5" s="5" t="s">
        <v>18</v>
      </c>
    </row>
    <row r="6" customFormat="false" ht="15" hidden="false" customHeight="false" outlineLevel="0" collapsed="false">
      <c r="A6" s="7" t="n">
        <v>2</v>
      </c>
      <c r="B6" s="8" t="s">
        <v>19</v>
      </c>
      <c r="C6" s="8" t="s">
        <v>20</v>
      </c>
      <c r="D6" s="8" t="s">
        <v>21</v>
      </c>
      <c r="E6" s="7" t="s">
        <v>22</v>
      </c>
      <c r="F6" s="7" t="n">
        <v>40</v>
      </c>
      <c r="G6" s="9" t="n">
        <v>25000</v>
      </c>
      <c r="H6" s="9" t="n">
        <v>45000</v>
      </c>
      <c r="I6" s="9" t="n">
        <f aca="false">F6*G6</f>
        <v>1000000</v>
      </c>
      <c r="J6" s="8" t="s">
        <v>23</v>
      </c>
      <c r="K6" s="8" t="s">
        <v>24</v>
      </c>
    </row>
    <row r="7" customFormat="false" ht="15" hidden="false" customHeight="false" outlineLevel="0" collapsed="false">
      <c r="A7" s="4" t="n">
        <v>3</v>
      </c>
      <c r="B7" s="5" t="s">
        <v>25</v>
      </c>
      <c r="C7" s="5" t="s">
        <v>26</v>
      </c>
      <c r="D7" s="5" t="s">
        <v>27</v>
      </c>
      <c r="E7" s="4" t="s">
        <v>22</v>
      </c>
      <c r="F7" s="4" t="n">
        <v>120</v>
      </c>
      <c r="G7" s="6" t="n">
        <v>18000</v>
      </c>
      <c r="H7" s="6" t="n">
        <v>32000</v>
      </c>
      <c r="I7" s="6" t="n">
        <f aca="false">F7*G7</f>
        <v>2160000</v>
      </c>
      <c r="J7" s="5" t="s">
        <v>28</v>
      </c>
      <c r="K7" s="5" t="s">
        <v>29</v>
      </c>
    </row>
    <row r="8" customFormat="false" ht="15" hidden="false" customHeight="false" outlineLevel="0" collapsed="false">
      <c r="A8" s="7" t="n">
        <v>4</v>
      </c>
      <c r="B8" s="8" t="s">
        <v>30</v>
      </c>
      <c r="C8" s="8" t="s">
        <v>31</v>
      </c>
      <c r="D8" s="8" t="s">
        <v>32</v>
      </c>
      <c r="E8" s="7" t="s">
        <v>33</v>
      </c>
      <c r="F8" s="7" t="n">
        <v>30</v>
      </c>
      <c r="G8" s="9" t="n">
        <v>280000</v>
      </c>
      <c r="H8" s="9" t="n">
        <v>380000</v>
      </c>
      <c r="I8" s="9" t="n">
        <f aca="false">F8*G8</f>
        <v>8400000</v>
      </c>
      <c r="J8" s="8" t="s">
        <v>34</v>
      </c>
      <c r="K8" s="8" t="s">
        <v>35</v>
      </c>
    </row>
    <row r="9" customFormat="false" ht="15" hidden="false" customHeight="false" outlineLevel="0" collapsed="false">
      <c r="A9" s="4" t="n">
        <v>5</v>
      </c>
      <c r="B9" s="5" t="s">
        <v>36</v>
      </c>
      <c r="C9" s="5" t="s">
        <v>37</v>
      </c>
      <c r="D9" s="5" t="s">
        <v>38</v>
      </c>
      <c r="E9" s="4" t="s">
        <v>33</v>
      </c>
      <c r="F9" s="4" t="n">
        <v>55</v>
      </c>
      <c r="G9" s="6" t="n">
        <v>45000</v>
      </c>
      <c r="H9" s="6" t="n">
        <v>75000</v>
      </c>
      <c r="I9" s="6" t="n">
        <f aca="false">F9*G9</f>
        <v>2475000</v>
      </c>
      <c r="J9" s="5" t="s">
        <v>39</v>
      </c>
      <c r="K9" s="5" t="s">
        <v>40</v>
      </c>
    </row>
    <row r="10" customFormat="false" ht="15" hidden="false" customHeight="false" outlineLevel="0" collapsed="false">
      <c r="A10" s="7" t="n">
        <v>6</v>
      </c>
      <c r="B10" s="8" t="s">
        <v>41</v>
      </c>
      <c r="C10" s="8" t="s">
        <v>42</v>
      </c>
      <c r="D10" s="8" t="s">
        <v>38</v>
      </c>
      <c r="E10" s="7" t="s">
        <v>33</v>
      </c>
      <c r="F10" s="7" t="n">
        <v>60</v>
      </c>
      <c r="G10" s="9" t="n">
        <v>42000</v>
      </c>
      <c r="H10" s="9" t="n">
        <v>72000</v>
      </c>
      <c r="I10" s="9" t="n">
        <f aca="false">F10*G10</f>
        <v>2520000</v>
      </c>
      <c r="J10" s="8" t="s">
        <v>23</v>
      </c>
      <c r="K10" s="8" t="s">
        <v>40</v>
      </c>
    </row>
    <row r="11" customFormat="false" ht="15" hidden="false" customHeight="false" outlineLevel="0" collapsed="false">
      <c r="A11" s="4" t="n">
        <v>7</v>
      </c>
      <c r="B11" s="5" t="s">
        <v>43</v>
      </c>
      <c r="C11" s="5" t="s">
        <v>44</v>
      </c>
      <c r="D11" s="5" t="s">
        <v>15</v>
      </c>
      <c r="E11" s="4" t="s">
        <v>16</v>
      </c>
      <c r="F11" s="4" t="n">
        <v>45</v>
      </c>
      <c r="G11" s="6" t="n">
        <v>22000</v>
      </c>
      <c r="H11" s="6" t="n">
        <v>38000</v>
      </c>
      <c r="I11" s="6" t="n">
        <f aca="false">F11*G11</f>
        <v>990000</v>
      </c>
      <c r="J11" s="5" t="s">
        <v>45</v>
      </c>
      <c r="K11" s="5" t="s">
        <v>18</v>
      </c>
    </row>
    <row r="12" customFormat="false" ht="15" hidden="false" customHeight="false" outlineLevel="0" collapsed="false">
      <c r="A12" s="7" t="n">
        <v>8</v>
      </c>
      <c r="B12" s="8" t="s">
        <v>46</v>
      </c>
      <c r="C12" s="8" t="s">
        <v>47</v>
      </c>
      <c r="D12" s="8" t="s">
        <v>48</v>
      </c>
      <c r="E12" s="7" t="s">
        <v>22</v>
      </c>
      <c r="F12" s="7" t="n">
        <v>25</v>
      </c>
      <c r="G12" s="9" t="n">
        <v>320000</v>
      </c>
      <c r="H12" s="9" t="n">
        <v>420000</v>
      </c>
      <c r="I12" s="9" t="n">
        <f aca="false">F12*G12</f>
        <v>8000000</v>
      </c>
      <c r="J12" s="8" t="s">
        <v>49</v>
      </c>
      <c r="K12" s="8" t="s">
        <v>50</v>
      </c>
    </row>
    <row r="13" customFormat="false" ht="15" hidden="false" customHeight="false" outlineLevel="0" collapsed="false">
      <c r="A13" s="4" t="n">
        <v>9</v>
      </c>
      <c r="B13" s="5" t="s">
        <v>51</v>
      </c>
      <c r="C13" s="5" t="s">
        <v>52</v>
      </c>
      <c r="D13" s="5" t="s">
        <v>53</v>
      </c>
      <c r="E13" s="4" t="s">
        <v>22</v>
      </c>
      <c r="F13" s="4" t="n">
        <v>70</v>
      </c>
      <c r="G13" s="6" t="n">
        <v>35000</v>
      </c>
      <c r="H13" s="6" t="n">
        <v>55000</v>
      </c>
      <c r="I13" s="6" t="n">
        <f aca="false">F13*G13</f>
        <v>2450000</v>
      </c>
      <c r="J13" s="5" t="s">
        <v>54</v>
      </c>
      <c r="K13" s="5" t="s">
        <v>55</v>
      </c>
    </row>
    <row r="14" customFormat="false" ht="15" hidden="false" customHeight="false" outlineLevel="0" collapsed="false">
      <c r="A14" s="7" t="n">
        <v>10</v>
      </c>
      <c r="B14" s="8" t="s">
        <v>56</v>
      </c>
      <c r="C14" s="8" t="s">
        <v>57</v>
      </c>
      <c r="D14" s="8" t="s">
        <v>53</v>
      </c>
      <c r="E14" s="7" t="s">
        <v>22</v>
      </c>
      <c r="F14" s="7" t="n">
        <v>20</v>
      </c>
      <c r="G14" s="9" t="n">
        <v>450000</v>
      </c>
      <c r="H14" s="9" t="n">
        <v>620000</v>
      </c>
      <c r="I14" s="9" t="n">
        <f aca="false">F14*G14</f>
        <v>9000000</v>
      </c>
      <c r="J14" s="8" t="s">
        <v>58</v>
      </c>
      <c r="K14" s="8" t="s">
        <v>59</v>
      </c>
    </row>
    <row r="15" customFormat="false" ht="15" hidden="false" customHeight="false" outlineLevel="0" collapsed="false">
      <c r="A15" s="4" t="n">
        <v>11</v>
      </c>
      <c r="B15" s="5" t="s">
        <v>60</v>
      </c>
      <c r="C15" s="5" t="s">
        <v>61</v>
      </c>
      <c r="D15" s="5" t="s">
        <v>53</v>
      </c>
      <c r="E15" s="4" t="s">
        <v>22</v>
      </c>
      <c r="F15" s="4" t="n">
        <v>18</v>
      </c>
      <c r="G15" s="6" t="n">
        <v>480000</v>
      </c>
      <c r="H15" s="6" t="n">
        <v>650000</v>
      </c>
      <c r="I15" s="6" t="n">
        <f aca="false">F15*G15</f>
        <v>8640000</v>
      </c>
      <c r="J15" s="5" t="s">
        <v>58</v>
      </c>
      <c r="K15" s="5" t="s">
        <v>59</v>
      </c>
    </row>
    <row r="16" customFormat="false" ht="15" hidden="false" customHeight="false" outlineLevel="0" collapsed="false">
      <c r="A16" s="7" t="n">
        <v>12</v>
      </c>
      <c r="B16" s="8" t="s">
        <v>62</v>
      </c>
      <c r="C16" s="8" t="s">
        <v>63</v>
      </c>
      <c r="D16" s="8" t="s">
        <v>32</v>
      </c>
      <c r="E16" s="7" t="s">
        <v>22</v>
      </c>
      <c r="F16" s="7" t="n">
        <v>22</v>
      </c>
      <c r="G16" s="9" t="n">
        <v>180000</v>
      </c>
      <c r="H16" s="9" t="n">
        <v>260000</v>
      </c>
      <c r="I16" s="9" t="n">
        <f aca="false">F16*G16</f>
        <v>3960000</v>
      </c>
      <c r="J16" s="8" t="s">
        <v>23</v>
      </c>
      <c r="K16" s="8" t="s">
        <v>35</v>
      </c>
    </row>
    <row r="17" customFormat="false" ht="15" hidden="false" customHeight="false" outlineLevel="0" collapsed="false">
      <c r="A17" s="4" t="n">
        <v>13</v>
      </c>
      <c r="B17" s="5" t="s">
        <v>64</v>
      </c>
      <c r="C17" s="5" t="s">
        <v>65</v>
      </c>
      <c r="D17" s="5" t="s">
        <v>66</v>
      </c>
      <c r="E17" s="4" t="s">
        <v>67</v>
      </c>
      <c r="F17" s="4" t="n">
        <v>35</v>
      </c>
      <c r="G17" s="6" t="n">
        <v>95000</v>
      </c>
      <c r="H17" s="6" t="n">
        <v>150000</v>
      </c>
      <c r="I17" s="6" t="n">
        <f aca="false">F17*G17</f>
        <v>3325000</v>
      </c>
      <c r="J17" s="5" t="s">
        <v>39</v>
      </c>
      <c r="K17" s="5" t="s">
        <v>68</v>
      </c>
    </row>
    <row r="18" customFormat="false" ht="15" hidden="false" customHeight="false" outlineLevel="0" collapsed="false">
      <c r="A18" s="7" t="n">
        <v>14</v>
      </c>
      <c r="B18" s="8" t="s">
        <v>69</v>
      </c>
      <c r="C18" s="8" t="s">
        <v>70</v>
      </c>
      <c r="D18" s="8" t="s">
        <v>38</v>
      </c>
      <c r="E18" s="7" t="s">
        <v>22</v>
      </c>
      <c r="F18" s="7" t="n">
        <v>50</v>
      </c>
      <c r="G18" s="9" t="n">
        <v>28000</v>
      </c>
      <c r="H18" s="9" t="n">
        <v>48000</v>
      </c>
      <c r="I18" s="9" t="n">
        <f aca="false">F18*G18</f>
        <v>1400000</v>
      </c>
      <c r="J18" s="8" t="s">
        <v>23</v>
      </c>
      <c r="K18" s="8" t="s">
        <v>71</v>
      </c>
    </row>
    <row r="19" customFormat="false" ht="15" hidden="false" customHeight="false" outlineLevel="0" collapsed="false">
      <c r="A19" s="4" t="n">
        <v>15</v>
      </c>
      <c r="B19" s="5" t="s">
        <v>72</v>
      </c>
      <c r="C19" s="5" t="s">
        <v>73</v>
      </c>
      <c r="D19" s="5" t="s">
        <v>74</v>
      </c>
      <c r="E19" s="4" t="s">
        <v>22</v>
      </c>
      <c r="F19" s="4" t="n">
        <v>15</v>
      </c>
      <c r="G19" s="6" t="n">
        <v>65000</v>
      </c>
      <c r="H19" s="6" t="n">
        <v>95000</v>
      </c>
      <c r="I19" s="6" t="n">
        <f aca="false">F19*G19</f>
        <v>975000</v>
      </c>
      <c r="J19" s="5" t="s">
        <v>75</v>
      </c>
      <c r="K19" s="5" t="s">
        <v>76</v>
      </c>
    </row>
    <row r="20" customFormat="false" ht="15" hidden="false" customHeight="false" outlineLevel="0" collapsed="false">
      <c r="A20" s="7" t="n">
        <v>16</v>
      </c>
      <c r="B20" s="8" t="s">
        <v>77</v>
      </c>
      <c r="C20" s="8" t="s">
        <v>78</v>
      </c>
      <c r="D20" s="8" t="s">
        <v>74</v>
      </c>
      <c r="E20" s="7" t="s">
        <v>22</v>
      </c>
      <c r="F20" s="7" t="n">
        <v>18</v>
      </c>
      <c r="G20" s="9" t="n">
        <v>40000</v>
      </c>
      <c r="H20" s="9" t="n">
        <v>68000</v>
      </c>
      <c r="I20" s="9" t="n">
        <f aca="false">F20*G20</f>
        <v>720000</v>
      </c>
      <c r="J20" s="8" t="s">
        <v>75</v>
      </c>
      <c r="K20" s="8" t="s">
        <v>76</v>
      </c>
    </row>
    <row r="21" customFormat="false" ht="15" hidden="false" customHeight="false" outlineLevel="0" collapsed="false">
      <c r="A21" s="4" t="n">
        <v>17</v>
      </c>
      <c r="B21" s="5" t="s">
        <v>79</v>
      </c>
      <c r="C21" s="5" t="s">
        <v>80</v>
      </c>
      <c r="D21" s="5" t="s">
        <v>81</v>
      </c>
      <c r="E21" s="4" t="s">
        <v>67</v>
      </c>
      <c r="F21" s="10" t="n">
        <v>12</v>
      </c>
      <c r="G21" s="6" t="n">
        <v>320000</v>
      </c>
      <c r="H21" s="6" t="n">
        <v>450000</v>
      </c>
      <c r="I21" s="6" t="n">
        <f aca="false">F21*G21</f>
        <v>3840000</v>
      </c>
      <c r="J21" s="5" t="s">
        <v>39</v>
      </c>
      <c r="K21" s="5" t="s">
        <v>82</v>
      </c>
    </row>
    <row r="22" customFormat="false" ht="15" hidden="false" customHeight="false" outlineLevel="0" collapsed="false">
      <c r="A22" s="7" t="n">
        <v>18</v>
      </c>
      <c r="B22" s="8" t="s">
        <v>83</v>
      </c>
      <c r="C22" s="8" t="s">
        <v>84</v>
      </c>
      <c r="D22" s="8" t="s">
        <v>81</v>
      </c>
      <c r="E22" s="7" t="s">
        <v>22</v>
      </c>
      <c r="F22" s="7" t="n">
        <v>20</v>
      </c>
      <c r="G22" s="9" t="n">
        <v>180000</v>
      </c>
      <c r="H22" s="9" t="n">
        <v>280000</v>
      </c>
      <c r="I22" s="9" t="n">
        <f aca="false">F22*G22</f>
        <v>3600000</v>
      </c>
      <c r="J22" s="8" t="s">
        <v>39</v>
      </c>
      <c r="K22" s="8" t="s">
        <v>82</v>
      </c>
    </row>
    <row r="23" customFormat="false" ht="15" hidden="false" customHeight="false" outlineLevel="0" collapsed="false">
      <c r="A23" s="4" t="n">
        <v>19</v>
      </c>
      <c r="B23" s="5" t="s">
        <v>85</v>
      </c>
      <c r="C23" s="5" t="s">
        <v>86</v>
      </c>
      <c r="D23" s="5" t="s">
        <v>48</v>
      </c>
      <c r="E23" s="4" t="s">
        <v>22</v>
      </c>
      <c r="F23" s="10" t="n">
        <v>10</v>
      </c>
      <c r="G23" s="6" t="n">
        <v>350000</v>
      </c>
      <c r="H23" s="6" t="n">
        <v>480000</v>
      </c>
      <c r="I23" s="6" t="n">
        <f aca="false">F23*G23</f>
        <v>3500000</v>
      </c>
      <c r="J23" s="5" t="s">
        <v>23</v>
      </c>
      <c r="K23" s="5" t="s">
        <v>87</v>
      </c>
    </row>
    <row r="24" customFormat="false" ht="15" hidden="false" customHeight="false" outlineLevel="0" collapsed="false">
      <c r="A24" s="7" t="n">
        <v>20</v>
      </c>
      <c r="B24" s="8" t="s">
        <v>88</v>
      </c>
      <c r="C24" s="8" t="s">
        <v>89</v>
      </c>
      <c r="D24" s="8" t="s">
        <v>48</v>
      </c>
      <c r="E24" s="7" t="s">
        <v>22</v>
      </c>
      <c r="F24" s="10" t="n">
        <v>8</v>
      </c>
      <c r="G24" s="9" t="n">
        <v>220000</v>
      </c>
      <c r="H24" s="9" t="n">
        <v>320000</v>
      </c>
      <c r="I24" s="9" t="n">
        <f aca="false">F24*G24</f>
        <v>1760000</v>
      </c>
      <c r="J24" s="8" t="s">
        <v>75</v>
      </c>
      <c r="K24" s="8" t="s">
        <v>87</v>
      </c>
    </row>
    <row r="25" customFormat="false" ht="15" hidden="false" customHeight="false" outlineLevel="0" collapsed="false">
      <c r="A25" s="4" t="n">
        <v>21</v>
      </c>
      <c r="B25" s="5" t="s">
        <v>90</v>
      </c>
      <c r="C25" s="5" t="s">
        <v>91</v>
      </c>
      <c r="D25" s="5" t="s">
        <v>27</v>
      </c>
      <c r="E25" s="4" t="s">
        <v>22</v>
      </c>
      <c r="F25" s="4" t="n">
        <v>25</v>
      </c>
      <c r="G25" s="6" t="n">
        <v>60000</v>
      </c>
      <c r="H25" s="6" t="n">
        <v>95000</v>
      </c>
      <c r="I25" s="6" t="n">
        <f aca="false">F25*G25</f>
        <v>1500000</v>
      </c>
      <c r="J25" s="5" t="s">
        <v>75</v>
      </c>
      <c r="K25" s="5" t="s">
        <v>29</v>
      </c>
    </row>
    <row r="26" customFormat="false" ht="15" hidden="false" customHeight="false" outlineLevel="0" collapsed="false">
      <c r="A26" s="7" t="n">
        <v>22</v>
      </c>
      <c r="B26" s="8" t="s">
        <v>92</v>
      </c>
      <c r="C26" s="8" t="s">
        <v>93</v>
      </c>
      <c r="D26" s="8" t="s">
        <v>15</v>
      </c>
      <c r="E26" s="7" t="s">
        <v>22</v>
      </c>
      <c r="F26" s="7" t="n">
        <v>60</v>
      </c>
      <c r="G26" s="9" t="n">
        <v>15000</v>
      </c>
      <c r="H26" s="9" t="n">
        <v>28000</v>
      </c>
      <c r="I26" s="9" t="n">
        <f aca="false">F26*G26</f>
        <v>900000</v>
      </c>
      <c r="J26" s="8" t="s">
        <v>39</v>
      </c>
      <c r="K26" s="8" t="s">
        <v>18</v>
      </c>
    </row>
    <row r="27" customFormat="false" ht="15" hidden="false" customHeight="false" outlineLevel="0" collapsed="false">
      <c r="A27" s="4" t="n">
        <v>23</v>
      </c>
      <c r="B27" s="5" t="s">
        <v>94</v>
      </c>
      <c r="C27" s="5" t="s">
        <v>95</v>
      </c>
      <c r="D27" s="5" t="s">
        <v>38</v>
      </c>
      <c r="E27" s="4" t="s">
        <v>33</v>
      </c>
      <c r="F27" s="4" t="n">
        <v>28</v>
      </c>
      <c r="G27" s="6" t="n">
        <v>55000</v>
      </c>
      <c r="H27" s="6" t="n">
        <v>90000</v>
      </c>
      <c r="I27" s="6" t="n">
        <f aca="false">F27*G27</f>
        <v>1540000</v>
      </c>
      <c r="J27" s="5" t="s">
        <v>23</v>
      </c>
      <c r="K27" s="5" t="s">
        <v>40</v>
      </c>
    </row>
    <row r="28" customFormat="false" ht="15" hidden="false" customHeight="false" outlineLevel="0" collapsed="false">
      <c r="A28" s="7" t="n">
        <v>24</v>
      </c>
      <c r="B28" s="8" t="s">
        <v>96</v>
      </c>
      <c r="C28" s="8" t="s">
        <v>97</v>
      </c>
      <c r="D28" s="8" t="s">
        <v>32</v>
      </c>
      <c r="E28" s="7" t="s">
        <v>98</v>
      </c>
      <c r="F28" s="7" t="n">
        <v>45</v>
      </c>
      <c r="G28" s="9" t="n">
        <v>18000</v>
      </c>
      <c r="H28" s="9" t="n">
        <v>32000</v>
      </c>
      <c r="I28" s="9" t="n">
        <f aca="false">F28*G28</f>
        <v>810000</v>
      </c>
      <c r="J28" s="8" t="s">
        <v>75</v>
      </c>
      <c r="K28" s="8" t="s">
        <v>71</v>
      </c>
    </row>
    <row r="29" customFormat="false" ht="15" hidden="false" customHeight="false" outlineLevel="0" collapsed="false">
      <c r="A29" s="4" t="n">
        <v>25</v>
      </c>
      <c r="B29" s="5" t="s">
        <v>99</v>
      </c>
      <c r="C29" s="5" t="s">
        <v>100</v>
      </c>
      <c r="D29" s="5" t="s">
        <v>48</v>
      </c>
      <c r="E29" s="4" t="s">
        <v>22</v>
      </c>
      <c r="F29" s="4" t="n">
        <v>40</v>
      </c>
      <c r="G29" s="6" t="n">
        <v>25000</v>
      </c>
      <c r="H29" s="6" t="n">
        <v>45000</v>
      </c>
      <c r="I29" s="6" t="n">
        <f aca="false">F29*G29</f>
        <v>1000000</v>
      </c>
      <c r="J29" s="5" t="s">
        <v>75</v>
      </c>
      <c r="K29" s="5" t="s">
        <v>101</v>
      </c>
    </row>
    <row r="30" customFormat="false" ht="15" hidden="false" customHeight="false" outlineLevel="0" collapsed="false">
      <c r="A30" s="7" t="n">
        <v>26</v>
      </c>
      <c r="B30" s="8" t="s">
        <v>102</v>
      </c>
      <c r="C30" s="8" t="s">
        <v>103</v>
      </c>
      <c r="D30" s="8" t="s">
        <v>48</v>
      </c>
      <c r="E30" s="7" t="s">
        <v>22</v>
      </c>
      <c r="F30" s="7" t="n">
        <v>65</v>
      </c>
      <c r="G30" s="9" t="n">
        <v>45000</v>
      </c>
      <c r="H30" s="9" t="n">
        <v>85000</v>
      </c>
      <c r="I30" s="9" t="n">
        <f aca="false">F30*G30</f>
        <v>2925000</v>
      </c>
      <c r="J30" s="8" t="s">
        <v>104</v>
      </c>
      <c r="K30" s="8" t="s">
        <v>101</v>
      </c>
    </row>
    <row r="31" customFormat="false" ht="15" hidden="false" customHeight="false" outlineLevel="0" collapsed="false">
      <c r="A31" s="4" t="n">
        <v>27</v>
      </c>
      <c r="B31" s="5" t="s">
        <v>105</v>
      </c>
      <c r="C31" s="5" t="s">
        <v>106</v>
      </c>
      <c r="D31" s="5" t="s">
        <v>48</v>
      </c>
      <c r="E31" s="4" t="s">
        <v>67</v>
      </c>
      <c r="F31" s="4" t="n">
        <v>30</v>
      </c>
      <c r="G31" s="6" t="n">
        <v>55000</v>
      </c>
      <c r="H31" s="6" t="n">
        <v>95000</v>
      </c>
      <c r="I31" s="6" t="n">
        <f aca="false">F31*G31</f>
        <v>1650000</v>
      </c>
      <c r="J31" s="5" t="s">
        <v>23</v>
      </c>
      <c r="K31" s="5" t="s">
        <v>101</v>
      </c>
    </row>
    <row r="32" customFormat="false" ht="15" hidden="false" customHeight="false" outlineLevel="0" collapsed="false">
      <c r="A32" s="7" t="n">
        <v>28</v>
      </c>
      <c r="B32" s="8" t="s">
        <v>107</v>
      </c>
      <c r="C32" s="8" t="s">
        <v>108</v>
      </c>
      <c r="D32" s="8" t="s">
        <v>66</v>
      </c>
      <c r="E32" s="7" t="s">
        <v>22</v>
      </c>
      <c r="F32" s="10" t="n">
        <v>14</v>
      </c>
      <c r="G32" s="9" t="n">
        <v>150000</v>
      </c>
      <c r="H32" s="9" t="n">
        <v>240000</v>
      </c>
      <c r="I32" s="9" t="n">
        <f aca="false">F32*G32</f>
        <v>2100000</v>
      </c>
      <c r="J32" s="8" t="s">
        <v>75</v>
      </c>
      <c r="K32" s="8" t="s">
        <v>68</v>
      </c>
    </row>
    <row r="33" customFormat="false" ht="15" hidden="false" customHeight="false" outlineLevel="0" collapsed="false">
      <c r="A33" s="4" t="n">
        <v>29</v>
      </c>
      <c r="B33" s="5" t="s">
        <v>109</v>
      </c>
      <c r="C33" s="5" t="s">
        <v>110</v>
      </c>
      <c r="D33" s="5" t="s">
        <v>66</v>
      </c>
      <c r="E33" s="4" t="s">
        <v>33</v>
      </c>
      <c r="F33" s="10" t="n">
        <v>10</v>
      </c>
      <c r="G33" s="6" t="n">
        <v>380000</v>
      </c>
      <c r="H33" s="6" t="n">
        <v>550000</v>
      </c>
      <c r="I33" s="6" t="n">
        <f aca="false">F33*G33</f>
        <v>3800000</v>
      </c>
      <c r="J33" s="5" t="s">
        <v>39</v>
      </c>
      <c r="K33" s="5" t="s">
        <v>111</v>
      </c>
    </row>
    <row r="34" customFormat="false" ht="15" hidden="false" customHeight="false" outlineLevel="0" collapsed="false">
      <c r="A34" s="7" t="n">
        <v>30</v>
      </c>
      <c r="B34" s="8" t="s">
        <v>112</v>
      </c>
      <c r="C34" s="8" t="s">
        <v>113</v>
      </c>
      <c r="D34" s="8" t="s">
        <v>74</v>
      </c>
      <c r="E34" s="7" t="s">
        <v>22</v>
      </c>
      <c r="F34" s="7" t="n">
        <v>20</v>
      </c>
      <c r="G34" s="9" t="n">
        <v>85000</v>
      </c>
      <c r="H34" s="9" t="n">
        <v>130000</v>
      </c>
      <c r="I34" s="9" t="n">
        <f aca="false">F34*G34</f>
        <v>1700000</v>
      </c>
      <c r="J34" s="8" t="s">
        <v>75</v>
      </c>
      <c r="K34" s="8" t="s">
        <v>114</v>
      </c>
    </row>
    <row r="36" customFormat="false" ht="15" hidden="false" customHeight="false" outlineLevel="0" collapsed="false">
      <c r="C36" s="11" t="s">
        <v>115</v>
      </c>
      <c r="F36" s="12" t="n">
        <f aca="false">SUM(F5:F34)</f>
        <v>1095</v>
      </c>
      <c r="I36" s="13" t="n">
        <f aca="false">SUM(I5:I34)</f>
        <v>92165000</v>
      </c>
    </row>
    <row r="38" customFormat="false" ht="15" hidden="false" customHeight="false" outlineLevel="0" collapsed="false">
      <c r="A38" s="14" t="s">
        <v>116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2026-09-16T14:05:30Z</dcterms:created>
  <dc:creator>openpyxl</dc:creator>
  <dc:description/>
  <dc:language>en-US</dc:language>
  <cp:lastModifiedBy/>
  <dcterms:modified xsi:type="dcterms:W3CDTF">2026-09-16T14:05:30Z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